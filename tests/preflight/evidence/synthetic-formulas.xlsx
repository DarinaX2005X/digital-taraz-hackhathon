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Rates" state="visible" r:id="rId5"/>
  </sheets>
  <calcPr calcId="171027"/>
</workbook>
</file>

<file path=xl/sharedStrings.xml><?xml version="1.0" encoding="utf-8"?>
<sst xmlns="http://schemas.openxmlformats.org/spreadsheetml/2006/main" count="5" uniqueCount="3">
  <si>
    <t>retail</t>
  </si>
  <si>
    <t>service</t>
  </si>
  <si>
    <t>Қазақша: Ә Ғ Қ Ң Ө Ұ Ү Һ І ә ғ қ ң ө ұ ү һ 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</si>
</sst>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 &quot;KZT&quot;"/>
    <numFmt numFmtId="165" formatCode="yyyy-mm-dd"/>
  </numFmts>
  <fonts count="2" x14ac:knownFonts="1">
    <font>
      <color theme="1"/>
      <family val="2"/>
      <scheme val="minor"/>
      <sz val="11"/>
      <name val="Calibri"/>
    </font>
    <font>
      <b/>
      <sz val="12"/>
      <name val="Noto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sheetData>
    <row r="1" spans="1:5" x14ac:dyDescent="0.25">
      <c r="A1" s="1">
        <v>10</v>
      </c>
      <c r="B1" t="s">
        <v>0</v>
      </c>
      <c r="D1">
        <f>SUM(A1:A4)</f>
        <v>35</v>
      </c>
      <c r="E1">
        <v>10</v>
      </c>
    </row>
    <row r="2" spans="1:5" x14ac:dyDescent="0.25">
      <c r="A2">
        <v>20</v>
      </c>
      <c r="B2" t="s">
        <v>0</v>
      </c>
      <c r="D2">
        <f>AVERAGE(A1:A4)</f>
        <v>8.75</v>
      </c>
      <c r="E2">
        <v>50</v>
      </c>
    </row>
    <row r="3" spans="1:5" x14ac:dyDescent="0.25">
      <c r="A3">
        <v>-5</v>
      </c>
      <c r="B3" t="s">
        <v>1</v>
      </c>
      <c r="D3">
        <f>MIN(A1:A4)</f>
        <v>-5</v>
      </c>
      <c r="E3">
        <v>90</v>
      </c>
    </row>
    <row r="4" spans="1:4" x14ac:dyDescent="0.25">
      <c r="A4">
        <v>10</v>
      </c>
      <c r="B4" t="s">
        <v>1</v>
      </c>
      <c r="D4">
        <f>MAX(A1:A4)</f>
        <v>20</v>
      </c>
    </row>
    <row r="5" spans="4:4" x14ac:dyDescent="0.25">
      <c r="D5">
        <f>ROUND(10.126,2)</f>
        <v>10.13</v>
      </c>
    </row>
    <row r="6" spans="4:4" x14ac:dyDescent="0.25">
      <c r="D6" t="str">
        <f>IF(A1&gt;5,"yes","no")</f>
        <v>yes</v>
      </c>
    </row>
    <row r="7" spans="4:4" x14ac:dyDescent="0.25">
      <c r="D7" t="str">
        <f>IFERROR(1/0,"invalid")</f>
        <v>invalid</v>
      </c>
    </row>
    <row r="8" spans="4:4" x14ac:dyDescent="0.25">
      <c r="D8">
        <f>COUNT(A1:B4)</f>
        <v>4</v>
      </c>
    </row>
    <row r="9" spans="4:4" x14ac:dyDescent="0.25">
      <c r="D9">
        <f>COUNTA(A1:B4)</f>
        <v>8</v>
      </c>
    </row>
    <row r="10" spans="4:4" x14ac:dyDescent="0.25">
      <c r="D10">
        <f>COUNTIF(B1:B4,"retail")</f>
        <v>2</v>
      </c>
    </row>
    <row r="11" spans="4:4" x14ac:dyDescent="0.25">
      <c r="D11">
        <f>SUMIF(B1:B4,"retail",A1:A4)</f>
        <v>30</v>
      </c>
    </row>
    <row r="12" spans="4:4" x14ac:dyDescent="0.25">
      <c r="D12">
        <f>SUMIFS(A1:A4,B1:B4,"retail",A1:A4,"&gt;10")</f>
        <v>20</v>
      </c>
    </row>
    <row r="13" spans="4:4" x14ac:dyDescent="0.25">
      <c r="D13">
        <f>(A1+A2)*2-A3/5</f>
        <v>61</v>
      </c>
    </row>
    <row r="14" spans="4:4" x14ac:dyDescent="0.25">
      <c r="D14">
        <f>'Rates'!A1*A1</f>
        <v>12.5</v>
      </c>
    </row>
    <row r="15" spans="4:4" x14ac:dyDescent="0.25">
      <c r="D15">
        <f>$A$2*2</f>
        <v>40</v>
      </c>
    </row>
    <row r="20" spans="1:2" x14ac:dyDescent="0.25">
      <c r="A20" s="2" t="s">
        <v>2</v>
      </c>
      <c r="B20" s="2"/>
    </row>
    <row r="21" spans="1:1" x14ac:dyDescent="0.25">
      <c r="A21" s="3">
        <v>46308</v>
      </c>
    </row>
  </sheetData>
  <mergeCells count="1">
    <mergeCell ref="A20:B20"/>
  </mergeCell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38D34B41-83B4-47A2-A2FE-9064914F5BAA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E1:E3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>
        <v>1.25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Tirlik synthetic preflight</dc:creator>
  <dc:title/>
  <dc:subject/>
  <dc:description/>
  <cp:keywords/>
  <cp:category/>
  <cp:lastModifiedBy>Unknown</cp:lastModifiedBy>
  <dcterms:created xsi:type="dcterms:W3CDTF">2026-10-13T16:45:50Z</dcterms:created>
  <dcterms:modified xsi:type="dcterms:W3CDTF">2026-10-13T16:45:50Z</dcterms:modified>
</cp:coreProperties>
</file>